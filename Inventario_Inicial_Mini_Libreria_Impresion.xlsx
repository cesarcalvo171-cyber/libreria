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Inicial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Notas" sheetId="3" state="visible" r:id="rId3"/>
  </sheets>
  <definedNames>
    <definedName name="_xlnm._FilterDatabase" localSheetId="0" hidden="1">'Inventario Inicial'!$A$1:$J$26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C$ #,##0.0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165" fontId="2" fillId="3" borderId="1" applyAlignment="1" pivotButton="0" quotePrefix="0" xfId="0">
      <alignment vertical="center" wrapText="1"/>
    </xf>
    <xf numFmtId="0" fontId="3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8" customWidth="1" min="3" max="3"/>
    <col width="18" customWidth="1" min="4" max="4"/>
    <col width="16" customWidth="1" min="5" max="5"/>
    <col width="17" customWidth="1" min="6" max="6"/>
    <col width="22" customWidth="1" min="7" max="7"/>
    <col width="19" customWidth="1" min="8" max="8"/>
    <col width="18" customWidth="1" min="9" max="9"/>
    <col width="14" customWidth="1" min="10" max="10"/>
  </cols>
  <sheetData>
    <row r="1">
      <c r="A1" s="1" t="inlineStr">
        <is>
          <t>Categoría</t>
        </is>
      </c>
      <c r="B1" s="1" t="inlineStr">
        <is>
          <t>Producto</t>
        </is>
      </c>
      <c r="C1" s="1" t="inlineStr">
        <is>
          <t>Presentación</t>
        </is>
      </c>
      <c r="D1" s="1" t="inlineStr">
        <is>
          <t>Costo unitario (C$)</t>
        </is>
      </c>
      <c r="E1" s="1" t="inlineStr">
        <is>
          <t>Cantidad inicial</t>
        </is>
      </c>
      <c r="F1" s="1" t="inlineStr">
        <is>
          <t>Inversión (C$)</t>
        </is>
      </c>
      <c r="G1" s="1" t="inlineStr">
        <is>
          <t>Precio venta sugerido (C$)</t>
        </is>
      </c>
      <c r="H1" s="1" t="inlineStr">
        <is>
          <t>Utilidad unitaria (C$)</t>
        </is>
      </c>
      <c r="I1" s="1" t="inlineStr">
        <is>
          <t>Margen sobre venta</t>
        </is>
      </c>
      <c r="J1" s="1" t="inlineStr">
        <is>
          <t>Prioridad</t>
        </is>
      </c>
    </row>
    <row r="2">
      <c r="A2" s="2" t="inlineStr">
        <is>
          <t>Escritura</t>
        </is>
      </c>
      <c r="B2" s="2" t="inlineStr">
        <is>
          <t>Lapicero Pelikan Tango rojo 1.0 mm</t>
        </is>
      </c>
      <c r="C2" s="2" t="inlineStr">
        <is>
          <t>unidad</t>
        </is>
      </c>
      <c r="D2" s="3" t="n">
        <v>6.57</v>
      </c>
      <c r="E2" s="2" t="n">
        <v>30</v>
      </c>
      <c r="F2" s="3" t="n">
        <v>197.1</v>
      </c>
      <c r="G2" s="3" t="n">
        <v>10</v>
      </c>
      <c r="H2" s="3" t="n">
        <v>3.43</v>
      </c>
      <c r="I2" s="4" t="n">
        <v>0.343</v>
      </c>
      <c r="J2" s="2" t="inlineStr">
        <is>
          <t>ESENCIAL</t>
        </is>
      </c>
    </row>
    <row r="3">
      <c r="A3" s="2" t="inlineStr">
        <is>
          <t>Escritura</t>
        </is>
      </c>
      <c r="B3" s="2" t="inlineStr">
        <is>
          <t>Set lapiceros Pelikan Pointec surtido 10 pcs</t>
        </is>
      </c>
      <c r="C3" s="2" t="inlineStr">
        <is>
          <t>set</t>
        </is>
      </c>
      <c r="D3" s="3" t="n">
        <v>58.65</v>
      </c>
      <c r="E3" s="2" t="n">
        <v>5</v>
      </c>
      <c r="F3" s="3" t="n">
        <v>293.25</v>
      </c>
      <c r="G3" s="3" t="n">
        <v>90</v>
      </c>
      <c r="H3" s="3" t="n">
        <v>31.35</v>
      </c>
      <c r="I3" s="4" t="n">
        <v>0.3483333333333333</v>
      </c>
      <c r="J3" s="2" t="inlineStr">
        <is>
          <t>ESENCIAL</t>
        </is>
      </c>
    </row>
    <row r="4">
      <c r="A4" s="2" t="inlineStr">
        <is>
          <t>Escritura</t>
        </is>
      </c>
      <c r="B4" s="2" t="inlineStr">
        <is>
          <t>Lapicero Pentel K118 Hybrid Gel</t>
        </is>
      </c>
      <c r="C4" s="2" t="inlineStr">
        <is>
          <t>unidad</t>
        </is>
      </c>
      <c r="D4" s="3" t="n">
        <v>41.89</v>
      </c>
      <c r="E4" s="2" t="n">
        <v>5</v>
      </c>
      <c r="F4" s="3" t="n">
        <v>209.45</v>
      </c>
      <c r="G4" s="3" t="n">
        <v>65</v>
      </c>
      <c r="H4" s="3" t="n">
        <v>23.11</v>
      </c>
      <c r="I4" s="4" t="n">
        <v>0.3555384615384615</v>
      </c>
      <c r="J4" s="2" t="inlineStr">
        <is>
          <t>ESENCIAL</t>
        </is>
      </c>
    </row>
    <row r="5">
      <c r="A5" s="2" t="inlineStr">
        <is>
          <t>Escritura</t>
        </is>
      </c>
      <c r="B5" s="2" t="inlineStr">
        <is>
          <t>Set resaltadores Pentel fluorescentes 4 pcs</t>
        </is>
      </c>
      <c r="C5" s="2" t="inlineStr">
        <is>
          <t>set</t>
        </is>
      </c>
      <c r="D5" s="3" t="n">
        <v>116.83</v>
      </c>
      <c r="E5" s="2" t="n">
        <v>2</v>
      </c>
      <c r="F5" s="3" t="n">
        <v>233.66</v>
      </c>
      <c r="G5" s="3" t="n">
        <v>180</v>
      </c>
      <c r="H5" s="3" t="n">
        <v>63.17</v>
      </c>
      <c r="I5" s="4" t="n">
        <v>0.3509444444444444</v>
      </c>
      <c r="J5" s="2" t="inlineStr">
        <is>
          <t>ESENCIAL</t>
        </is>
      </c>
    </row>
    <row r="6">
      <c r="A6" s="2" t="inlineStr">
        <is>
          <t>Escritura</t>
        </is>
      </c>
      <c r="B6" s="2" t="inlineStr">
        <is>
          <t>Lápiz grafito Pointer #2 HB</t>
        </is>
      </c>
      <c r="C6" s="2" t="inlineStr">
        <is>
          <t>caja 12</t>
        </is>
      </c>
      <c r="D6" s="3" t="n">
        <v>27.29</v>
      </c>
      <c r="E6" s="2" t="n">
        <v>5</v>
      </c>
      <c r="F6" s="3" t="n">
        <v>136.45</v>
      </c>
      <c r="G6" s="3" t="n">
        <v>45</v>
      </c>
      <c r="H6" s="3" t="n">
        <v>17.71</v>
      </c>
      <c r="I6" s="4" t="n">
        <v>0.3935555555555555</v>
      </c>
      <c r="J6" s="2" t="inlineStr">
        <is>
          <t>ESENCIAL</t>
        </is>
      </c>
    </row>
    <row r="7">
      <c r="A7" s="2" t="inlineStr">
        <is>
          <t>Cuadernos</t>
        </is>
      </c>
      <c r="B7" s="2" t="inlineStr">
        <is>
          <t>Cuaderno universitario Smarty 80 hojas color sólido</t>
        </is>
      </c>
      <c r="C7" s="2" t="inlineStr">
        <is>
          <t>unidad</t>
        </is>
      </c>
      <c r="D7" s="3" t="n">
        <v>42.4</v>
      </c>
      <c r="E7" s="2" t="n">
        <v>15</v>
      </c>
      <c r="F7" s="3" t="n">
        <v>636</v>
      </c>
      <c r="G7" s="3" t="n">
        <v>65</v>
      </c>
      <c r="H7" s="3" t="n">
        <v>22.6</v>
      </c>
      <c r="I7" s="4" t="n">
        <v>0.3476923076923077</v>
      </c>
      <c r="J7" s="2" t="inlineStr">
        <is>
          <t>ESENCIAL</t>
        </is>
      </c>
    </row>
    <row r="8">
      <c r="A8" s="2" t="inlineStr">
        <is>
          <t>Cuadernos</t>
        </is>
      </c>
      <c r="B8" s="2" t="inlineStr">
        <is>
          <t>Cuaderno universitario Smarty 80 hojas rayado</t>
        </is>
      </c>
      <c r="C8" s="2" t="inlineStr">
        <is>
          <t>unidad</t>
        </is>
      </c>
      <c r="D8" s="3" t="n">
        <v>58.74</v>
      </c>
      <c r="E8" s="2" t="n">
        <v>10</v>
      </c>
      <c r="F8" s="3" t="n">
        <v>587.4</v>
      </c>
      <c r="G8" s="3" t="n">
        <v>90</v>
      </c>
      <c r="H8" s="3" t="n">
        <v>31.26</v>
      </c>
      <c r="I8" s="4" t="n">
        <v>0.3473333333333333</v>
      </c>
      <c r="J8" s="2" t="inlineStr">
        <is>
          <t>ESENCIAL</t>
        </is>
      </c>
    </row>
    <row r="9">
      <c r="A9" s="2" t="inlineStr">
        <is>
          <t>Cuadernos</t>
        </is>
      </c>
      <c r="B9" s="2" t="inlineStr">
        <is>
          <t>Libreta taquigrafía Pacasa 60 hojas</t>
        </is>
      </c>
      <c r="C9" s="2" t="inlineStr">
        <is>
          <t>unidad</t>
        </is>
      </c>
      <c r="D9" s="3" t="n">
        <v>20.17</v>
      </c>
      <c r="E9" s="2" t="n">
        <v>10</v>
      </c>
      <c r="F9" s="3" t="n">
        <v>201.7</v>
      </c>
      <c r="G9" s="3" t="n">
        <v>35</v>
      </c>
      <c r="H9" s="3" t="n">
        <v>14.83</v>
      </c>
      <c r="I9" s="4" t="n">
        <v>0.4237142857142857</v>
      </c>
      <c r="J9" s="2" t="inlineStr">
        <is>
          <t>ESENCIAL</t>
        </is>
      </c>
    </row>
    <row r="10">
      <c r="A10" s="2" t="inlineStr">
        <is>
          <t>Papelería</t>
        </is>
      </c>
      <c r="B10" s="2" t="inlineStr">
        <is>
          <t>Hojas Binder Pacasa rayadas 100 unidades</t>
        </is>
      </c>
      <c r="C10" s="2" t="inlineStr">
        <is>
          <t>paquete</t>
        </is>
      </c>
      <c r="D10" s="3" t="n">
        <v>45.33</v>
      </c>
      <c r="E10" s="2" t="n">
        <v>5</v>
      </c>
      <c r="F10" s="3" t="n">
        <v>226.65</v>
      </c>
      <c r="G10" s="3" t="n">
        <v>70</v>
      </c>
      <c r="H10" s="3" t="n">
        <v>24.67</v>
      </c>
      <c r="I10" s="4" t="n">
        <v>0.3524285714285715</v>
      </c>
      <c r="J10" s="2" t="inlineStr">
        <is>
          <t>ESENCIAL</t>
        </is>
      </c>
    </row>
    <row r="11">
      <c r="A11" s="2" t="inlineStr">
        <is>
          <t>Papelería</t>
        </is>
      </c>
      <c r="B11" s="2" t="inlineStr">
        <is>
          <t>Folder presentación Smarty transparente</t>
        </is>
      </c>
      <c r="C11" s="2" t="inlineStr">
        <is>
          <t>unidad</t>
        </is>
      </c>
      <c r="D11" s="3" t="n">
        <v>12.68</v>
      </c>
      <c r="E11" s="2" t="n">
        <v>20</v>
      </c>
      <c r="F11" s="3" t="n">
        <v>253.69</v>
      </c>
      <c r="G11" s="3" t="n">
        <v>20</v>
      </c>
      <c r="H11" s="3" t="n">
        <v>7.32</v>
      </c>
      <c r="I11" s="4" t="n">
        <v>0.3657750000000001</v>
      </c>
      <c r="J11" s="2" t="inlineStr">
        <is>
          <t>ESENCIAL</t>
        </is>
      </c>
    </row>
    <row r="12">
      <c r="A12" s="2" t="inlineStr">
        <is>
          <t>Papelería</t>
        </is>
      </c>
      <c r="B12" s="2" t="inlineStr">
        <is>
          <t>Folder Ampo manila carta</t>
        </is>
      </c>
      <c r="C12" s="2" t="inlineStr">
        <is>
          <t>paquete 10</t>
        </is>
      </c>
      <c r="D12" s="3" t="n">
        <v>49.73</v>
      </c>
      <c r="E12" s="2" t="n">
        <v>5</v>
      </c>
      <c r="F12" s="3" t="n">
        <v>248.63</v>
      </c>
      <c r="G12" s="3" t="n">
        <v>75</v>
      </c>
      <c r="H12" s="3" t="n">
        <v>25.27</v>
      </c>
      <c r="I12" s="4" t="n">
        <v>0.3369866666666667</v>
      </c>
      <c r="J12" s="2" t="inlineStr">
        <is>
          <t>ESENCIAL</t>
        </is>
      </c>
    </row>
    <row r="13">
      <c r="A13" s="2" t="inlineStr">
        <is>
          <t>Papelería</t>
        </is>
      </c>
      <c r="B13" s="2" t="inlineStr">
        <is>
          <t>Folder Ampo manila legal</t>
        </is>
      </c>
      <c r="C13" s="2" t="inlineStr">
        <is>
          <t>paquete 10</t>
        </is>
      </c>
      <c r="D13" s="3" t="n">
        <v>58.62</v>
      </c>
      <c r="E13" s="2" t="n">
        <v>3</v>
      </c>
      <c r="F13" s="3" t="n">
        <v>175.85</v>
      </c>
      <c r="G13" s="3" t="n">
        <v>90</v>
      </c>
      <c r="H13" s="3" t="n">
        <v>31.38</v>
      </c>
      <c r="I13" s="4" t="n">
        <v>0.3487166666666667</v>
      </c>
      <c r="J13" s="2" t="inlineStr">
        <is>
          <t>ESENCIAL</t>
        </is>
      </c>
    </row>
    <row r="14">
      <c r="A14" s="2" t="inlineStr">
        <is>
          <t>Papelería</t>
        </is>
      </c>
      <c r="B14" s="2" t="inlineStr">
        <is>
          <t>Sobre manila 7x10</t>
        </is>
      </c>
      <c r="C14" s="2" t="inlineStr">
        <is>
          <t>paquete 10</t>
        </is>
      </c>
      <c r="D14" s="3" t="n">
        <v>27.59</v>
      </c>
      <c r="E14" s="2" t="n">
        <v>5</v>
      </c>
      <c r="F14" s="3" t="n">
        <v>137.95</v>
      </c>
      <c r="G14" s="3" t="n">
        <v>45</v>
      </c>
      <c r="H14" s="3" t="n">
        <v>17.41</v>
      </c>
      <c r="I14" s="4" t="n">
        <v>0.3868888888888889</v>
      </c>
      <c r="J14" s="2" t="inlineStr">
        <is>
          <t>ESENCIAL</t>
        </is>
      </c>
    </row>
    <row r="15">
      <c r="A15" s="2" t="inlineStr">
        <is>
          <t>Papelería</t>
        </is>
      </c>
      <c r="B15" s="2" t="inlineStr">
        <is>
          <t>Sobre manila 9x12</t>
        </is>
      </c>
      <c r="C15" s="2" t="inlineStr">
        <is>
          <t>paquete 10</t>
        </is>
      </c>
      <c r="D15" s="3" t="n">
        <v>30.22</v>
      </c>
      <c r="E15" s="2" t="n">
        <v>5</v>
      </c>
      <c r="F15" s="3" t="n">
        <v>151.1</v>
      </c>
      <c r="G15" s="3" t="n">
        <v>50</v>
      </c>
      <c r="H15" s="3" t="n">
        <v>19.78</v>
      </c>
      <c r="I15" s="4" t="n">
        <v>0.3956</v>
      </c>
      <c r="J15" s="2" t="inlineStr">
        <is>
          <t>ESENCIAL</t>
        </is>
      </c>
    </row>
    <row r="16">
      <c r="A16" s="2" t="inlineStr">
        <is>
          <t>Impresión</t>
        </is>
      </c>
      <c r="B16" s="2" t="inlineStr">
        <is>
          <t>Papel bond blanco Brio carta 500 hojas</t>
        </is>
      </c>
      <c r="C16" s="2" t="inlineStr">
        <is>
          <t>resma</t>
        </is>
      </c>
      <c r="D16" s="3" t="n">
        <v>194.16</v>
      </c>
      <c r="E16" s="2" t="n">
        <v>5</v>
      </c>
      <c r="F16" s="3" t="n">
        <v>970.8</v>
      </c>
      <c r="G16" s="3" t="n">
        <v>300</v>
      </c>
      <c r="H16" s="3" t="n">
        <v>105.84</v>
      </c>
      <c r="I16" s="4" t="n">
        <v>0.3528</v>
      </c>
      <c r="J16" s="2" t="inlineStr">
        <is>
          <t>ESENCIAL</t>
        </is>
      </c>
    </row>
    <row r="17">
      <c r="A17" s="2" t="inlineStr">
        <is>
          <t>Impresión</t>
        </is>
      </c>
      <c r="B17" s="2" t="inlineStr">
        <is>
          <t>Papel bond Discovery carta 500 hojas</t>
        </is>
      </c>
      <c r="C17" s="2" t="inlineStr">
        <is>
          <t>resma</t>
        </is>
      </c>
      <c r="D17" s="3" t="n">
        <v>149.11</v>
      </c>
      <c r="E17" s="2" t="n">
        <v>2</v>
      </c>
      <c r="F17" s="3" t="n">
        <v>298.22</v>
      </c>
      <c r="G17" s="3" t="n">
        <v>230</v>
      </c>
      <c r="H17" s="3" t="n">
        <v>80.89</v>
      </c>
      <c r="I17" s="4" t="n">
        <v>0.351695652173913</v>
      </c>
      <c r="J17" s="2" t="inlineStr">
        <is>
          <t>ESENCIAL</t>
        </is>
      </c>
    </row>
    <row r="18">
      <c r="A18" s="2" t="inlineStr">
        <is>
          <t>Impresión</t>
        </is>
      </c>
      <c r="B18" s="2" t="inlineStr">
        <is>
          <t>Papel bond color Smarty pastel 100 hojas</t>
        </is>
      </c>
      <c r="C18" s="2" t="inlineStr">
        <is>
          <t>paquete</t>
        </is>
      </c>
      <c r="D18" s="3" t="n">
        <v>63.38</v>
      </c>
      <c r="E18" s="2" t="n">
        <v>3</v>
      </c>
      <c r="F18" s="3" t="n">
        <v>190.14</v>
      </c>
      <c r="G18" s="3" t="n">
        <v>100</v>
      </c>
      <c r="H18" s="3" t="n">
        <v>36.62</v>
      </c>
      <c r="I18" s="4" t="n">
        <v>0.3662</v>
      </c>
      <c r="J18" s="2" t="inlineStr">
        <is>
          <t>ESENCIAL</t>
        </is>
      </c>
    </row>
    <row r="19">
      <c r="A19" s="2" t="inlineStr">
        <is>
          <t>Impresión</t>
        </is>
      </c>
      <c r="B19" s="2" t="inlineStr">
        <is>
          <t>Papel fotográfico Glossy 8.5x11 20 hojas</t>
        </is>
      </c>
      <c r="C19" s="2" t="inlineStr">
        <is>
          <t>paquete</t>
        </is>
      </c>
      <c r="D19" s="3" t="n">
        <v>88.76000000000001</v>
      </c>
      <c r="E19" s="2" t="n">
        <v>2</v>
      </c>
      <c r="F19" s="3" t="n">
        <v>177.52</v>
      </c>
      <c r="G19" s="3" t="n">
        <v>140</v>
      </c>
      <c r="H19" s="3" t="n">
        <v>51.24</v>
      </c>
      <c r="I19" s="4" t="n">
        <v>0.3659999999999999</v>
      </c>
      <c r="J19" s="2" t="inlineStr">
        <is>
          <t>ESENCIAL</t>
        </is>
      </c>
    </row>
    <row r="20">
      <c r="A20" s="2" t="inlineStr">
        <is>
          <t>Escolar</t>
        </is>
      </c>
      <c r="B20" s="2" t="inlineStr">
        <is>
          <t>Cartulina Pointer metalizada 50x70 cm</t>
        </is>
      </c>
      <c r="C20" s="2" t="inlineStr">
        <is>
          <t>unidad</t>
        </is>
      </c>
      <c r="D20" s="3" t="n">
        <v>16.39</v>
      </c>
      <c r="E20" s="2" t="n">
        <v>20</v>
      </c>
      <c r="F20" s="3" t="n">
        <v>327.8</v>
      </c>
      <c r="G20" s="3" t="n">
        <v>25</v>
      </c>
      <c r="H20" s="3" t="n">
        <v>8.609999999999999</v>
      </c>
      <c r="I20" s="4" t="n">
        <v>0.3444</v>
      </c>
      <c r="J20" s="2" t="inlineStr">
        <is>
          <t>RECOMENDADO</t>
        </is>
      </c>
    </row>
    <row r="21">
      <c r="A21" s="2" t="inlineStr">
        <is>
          <t>Escolar</t>
        </is>
      </c>
      <c r="B21" s="2" t="inlineStr">
        <is>
          <t>Papel bond 22x34 papelógrafo</t>
        </is>
      </c>
      <c r="C21" s="2" t="inlineStr">
        <is>
          <t>pliego</t>
        </is>
      </c>
      <c r="D21" s="3" t="n">
        <v>3.76</v>
      </c>
      <c r="E21" s="2" t="n">
        <v>30</v>
      </c>
      <c r="F21" s="3" t="n">
        <v>112.8</v>
      </c>
      <c r="G21" s="3" t="n">
        <v>10</v>
      </c>
      <c r="H21" s="3" t="n">
        <v>6.24</v>
      </c>
      <c r="I21" s="4" t="n">
        <v>0.624</v>
      </c>
      <c r="J21" s="2" t="inlineStr">
        <is>
          <t>RECOMENDADO</t>
        </is>
      </c>
    </row>
    <row r="22">
      <c r="A22" s="2" t="inlineStr">
        <is>
          <t>Escolar</t>
        </is>
      </c>
      <c r="B22" s="2" t="inlineStr">
        <is>
          <t>Crayolas Pelikan extra jumbo 8 colores</t>
        </is>
      </c>
      <c r="C22" s="2" t="inlineStr">
        <is>
          <t>caja</t>
        </is>
      </c>
      <c r="D22" s="3" t="n">
        <v>80.92</v>
      </c>
      <c r="E22" s="2" t="n">
        <v>3</v>
      </c>
      <c r="F22" s="3" t="n">
        <v>242.76</v>
      </c>
      <c r="G22" s="3" t="n">
        <v>130</v>
      </c>
      <c r="H22" s="3" t="n">
        <v>49.08</v>
      </c>
      <c r="I22" s="4" t="n">
        <v>0.3775384615384615</v>
      </c>
      <c r="J22" s="2" t="inlineStr">
        <is>
          <t>RECOMENDADO</t>
        </is>
      </c>
    </row>
    <row r="23">
      <c r="A23" s="2" t="inlineStr">
        <is>
          <t>Escolar</t>
        </is>
      </c>
      <c r="B23" s="2" t="inlineStr">
        <is>
          <t>Regla flexible Pointer 30 cm</t>
        </is>
      </c>
      <c r="C23" s="2" t="inlineStr">
        <is>
          <t>unidad</t>
        </is>
      </c>
      <c r="D23" s="3" t="n">
        <v>14.95</v>
      </c>
      <c r="E23" s="2" t="n">
        <v>10</v>
      </c>
      <c r="F23" s="3" t="n">
        <v>149.5</v>
      </c>
      <c r="G23" s="3" t="n">
        <v>25</v>
      </c>
      <c r="H23" s="3" t="n">
        <v>10.05</v>
      </c>
      <c r="I23" s="4" t="n">
        <v>0.402</v>
      </c>
      <c r="J23" s="2" t="inlineStr">
        <is>
          <t>RECOMENDADO</t>
        </is>
      </c>
    </row>
    <row r="24">
      <c r="A24" s="2" t="inlineStr">
        <is>
          <t>Adhesivos</t>
        </is>
      </c>
      <c r="B24" s="2" t="inlineStr">
        <is>
          <t>Lápiz adhesivo Pelikan Pelifix 10 g</t>
        </is>
      </c>
      <c r="C24" s="2" t="inlineStr">
        <is>
          <t>unidad</t>
        </is>
      </c>
      <c r="D24" s="3" t="n">
        <v>8</v>
      </c>
      <c r="E24" s="2" t="n">
        <v>15</v>
      </c>
      <c r="F24" s="3" t="n">
        <v>120</v>
      </c>
      <c r="G24" s="3" t="n">
        <v>15</v>
      </c>
      <c r="H24" s="3" t="n">
        <v>7</v>
      </c>
      <c r="I24" s="4" t="n">
        <v>0.4666666666666667</v>
      </c>
      <c r="J24" s="2" t="inlineStr">
        <is>
          <t>RECOMENDADO</t>
        </is>
      </c>
    </row>
    <row r="25">
      <c r="A25" s="2" t="inlineStr">
        <is>
          <t>Marcadores</t>
        </is>
      </c>
      <c r="B25" s="2" t="inlineStr">
        <is>
          <t>Marcador acrílico Pelikan 742 negro</t>
        </is>
      </c>
      <c r="C25" s="2" t="inlineStr">
        <is>
          <t>unidad</t>
        </is>
      </c>
      <c r="D25" s="3" t="n">
        <v>15.22</v>
      </c>
      <c r="E25" s="2" t="n">
        <v>10</v>
      </c>
      <c r="F25" s="3" t="n">
        <v>152.2</v>
      </c>
      <c r="G25" s="3" t="n">
        <v>25</v>
      </c>
      <c r="H25" s="3" t="n">
        <v>9.779999999999999</v>
      </c>
      <c r="I25" s="4" t="n">
        <v>0.3912</v>
      </c>
      <c r="J25" s="2" t="inlineStr">
        <is>
          <t>RECOMENDADO</t>
        </is>
      </c>
    </row>
    <row r="26">
      <c r="A26" s="2" t="inlineStr">
        <is>
          <t>Otros</t>
        </is>
      </c>
      <c r="B26" s="2" t="inlineStr">
        <is>
          <t>Papel kraft 24x36 90 g</t>
        </is>
      </c>
      <c r="C26" s="2" t="inlineStr">
        <is>
          <t>pliego</t>
        </is>
      </c>
      <c r="D26" s="3" t="n">
        <v>5.08</v>
      </c>
      <c r="E26" s="2" t="n">
        <v>20</v>
      </c>
      <c r="F26" s="3" t="n">
        <v>101.6</v>
      </c>
      <c r="G26" s="3" t="n">
        <v>10</v>
      </c>
      <c r="H26" s="3" t="n">
        <v>4.92</v>
      </c>
      <c r="I26" s="4" t="n">
        <v>0.492</v>
      </c>
      <c r="J26" s="2" t="inlineStr">
        <is>
          <t>RECOMENDADO</t>
        </is>
      </c>
    </row>
    <row r="27">
      <c r="A27" s="5" t="inlineStr">
        <is>
          <t>TOTAL INVENTARIO</t>
        </is>
      </c>
      <c r="B27" s="5" t="n"/>
      <c r="C27" s="5" t="n"/>
      <c r="D27" s="6" t="n"/>
      <c r="E27" s="5" t="n"/>
      <c r="F27" s="6">
        <f>SUM(F2:F26)</f>
        <v/>
      </c>
      <c r="G27" s="6">
        <f>SUMPRODUCT(E2:E26,G2:G26)</f>
        <v/>
      </c>
      <c r="H27" s="6" t="n"/>
      <c r="I27" s="7" t="n"/>
      <c r="J27" s="5" t="n"/>
    </row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8" t="inlineStr">
        <is>
          <t>PRESUPUESTO INICIAL - MINI LIBRERÍA + IMPRESIÓN</t>
        </is>
      </c>
    </row>
    <row r="3">
      <c r="A3" s="9" t="inlineStr">
        <is>
          <t>Concepto</t>
        </is>
      </c>
      <c r="B3" s="9" t="inlineStr">
        <is>
          <t>Monto</t>
        </is>
      </c>
      <c r="C3" s="9" t="n"/>
      <c r="D3" s="9" t="n"/>
    </row>
    <row r="4">
      <c r="A4" t="inlineStr">
        <is>
          <t>Inventario inicial de librería/impresión</t>
        </is>
      </c>
      <c r="B4" s="10">
        <f>'Inventario Inicial'!F27</f>
        <v/>
      </c>
    </row>
    <row r="5">
      <c r="A5" t="inlineStr">
        <is>
          <t>Epson L5590 (precio de referencia de tu imagen)</t>
        </is>
      </c>
      <c r="B5" s="10" t="n">
        <v>15825</v>
      </c>
    </row>
    <row r="6">
      <c r="A6" t="inlineStr">
        <is>
          <t>Inversión total estimada</t>
        </is>
      </c>
      <c r="B6" s="10">
        <f>SUM(B4:B5)</f>
        <v/>
      </c>
    </row>
    <row r="8">
      <c r="A8" t="inlineStr">
        <is>
          <t>Nota</t>
        </is>
      </c>
      <c r="B8" s="11" t="inlineStr">
        <is>
          <t>Los precios de Gonper se tomaron del catálogo consultado. Los productos marcados originalmente +IVA fueron calculados con 15% para estimar el costo final.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100" customWidth="1" min="2" max="2"/>
  </cols>
  <sheetData>
    <row r="1">
      <c r="A1" s="8" t="inlineStr">
        <is>
          <t>NOTAS</t>
        </is>
      </c>
    </row>
    <row r="3">
      <c r="A3" t="inlineStr">
        <is>
          <t>1.</t>
        </is>
      </c>
      <c r="B3" s="11" t="inlineStr">
        <is>
          <t>El precio de venta es una sugerencia inicial usando aproximadamente 50% de recargo sobre el costo. Debes ajustarlo según competencia y zona.</t>
        </is>
      </c>
    </row>
    <row r="4">
      <c r="A4" t="inlineStr">
        <is>
          <t>2.</t>
        </is>
      </c>
      <c r="B4" s="11" t="inlineStr">
        <is>
          <t>Los costos con +IVA fueron convertidos a costo estimado con IVA incluido (15%).</t>
        </is>
      </c>
    </row>
    <row r="5">
      <c r="A5" t="inlineStr">
        <is>
          <t>3.</t>
        </is>
      </c>
      <c r="B5" s="11" t="inlineStr">
        <is>
          <t>La Epson L5590 está separada del inventario porque es equipo, no mercancía para reventa.</t>
        </is>
      </c>
    </row>
    <row r="6">
      <c r="A6" t="inlineStr">
        <is>
          <t>4.</t>
        </is>
      </c>
      <c r="B6" s="11" t="inlineStr">
        <is>
          <t>Conviene comprar primero los productos ESENCIALES y reponer según las ventas reales.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2026-08-30T17:04:16Z</dcterms:created>
  <dcterms:modified xmlns:dcterms="http://purl.org/dc/terms/" xmlns:xsi="http://www.w3.org/2001/XMLSchema-instance" xsi:type="dcterms:W3CDTF">2026-08-30T17:04:16Z</dcterms:modified>
</cp:coreProperties>
</file>